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orreobuap-my.sharepoint.com/personal/leonardo_rosasri_alumno_buap_mx/Documents/Proyectos para portafolio/Calculadora vba/"/>
    </mc:Choice>
  </mc:AlternateContent>
  <xr:revisionPtr revIDLastSave="2" documentId="13_ncr:1_{37086015-0224-4F88-89C0-14E0CE991887}" xr6:coauthVersionLast="47" xr6:coauthVersionMax="47" xr10:uidLastSave="{A0AC99DC-22B1-45DB-A4A9-640EC35AF0E4}"/>
  <bookViews>
    <workbookView xWindow="-108" yWindow="-108" windowWidth="23256" windowHeight="12456" xr2:uid="{C03E19E8-2DD8-4F98-805A-5D2403525CE8}"/>
  </bookViews>
  <sheets>
    <sheet name="Exame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1" l="1"/>
  <c r="D10" i="1"/>
  <c r="D12" i="1"/>
  <c r="C8" i="1"/>
  <c r="C10" i="1"/>
  <c r="C12" i="1"/>
  <c r="E12" i="1"/>
  <c r="E6" i="1"/>
  <c r="E8" i="1"/>
  <c r="B8" i="1"/>
  <c r="B10" i="1"/>
  <c r="B12" i="1"/>
  <c r="F6" i="1"/>
  <c r="F8" i="1"/>
  <c r="F10" i="1"/>
  <c r="D4" i="1"/>
  <c r="E9" i="1" a="1"/>
  <c r="C5" i="1" a="1"/>
  <c r="E9" i="1" l="1"/>
  <c r="E10" i="1"/>
  <c r="C5" i="1"/>
  <c r="F4" i="1"/>
  <c r="B6" i="1"/>
  <c r="E4" i="1"/>
  <c r="C4" i="1"/>
  <c r="D7" i="1" a="1"/>
  <c r="B3" i="1" a="1"/>
  <c r="D7" i="1" l="1"/>
  <c r="B4" i="1"/>
  <c r="B3" i="1"/>
  <c r="C6" i="1"/>
  <c r="D8" i="1" l="1"/>
  <c r="F12" i="1" l="1"/>
  <c r="F11" i="1" a="1"/>
  <c r="F1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<sst xmlns="http://schemas.openxmlformats.org/spreadsheetml/2006/main" count="24" uniqueCount="24">
  <si>
    <t>PV</t>
  </si>
  <si>
    <t>R</t>
  </si>
  <si>
    <t>i</t>
  </si>
  <si>
    <t>n</t>
  </si>
  <si>
    <t>FV</t>
  </si>
  <si>
    <t>Valor Presente</t>
  </si>
  <si>
    <t>Rentas</t>
  </si>
  <si>
    <t>Tasa de interés</t>
  </si>
  <si>
    <t>Plazos</t>
  </si>
  <si>
    <t>Valor Futuro</t>
  </si>
  <si>
    <t xml:space="preserve">Comentarios </t>
  </si>
  <si>
    <t>Valor Futuro usando funcion propia</t>
  </si>
  <si>
    <t>Renta usando funcion propia</t>
  </si>
  <si>
    <t>Tasa de interes usando funcion propia</t>
  </si>
  <si>
    <t>Plazos usando funcion propia</t>
  </si>
  <si>
    <t>Valor Presente usando funcion propia</t>
  </si>
  <si>
    <t>Valor Presente usando fórmulas de Excel</t>
  </si>
  <si>
    <t>Renta usando fórmulas de Excel</t>
  </si>
  <si>
    <t>Tasa de interes usando fórmulas de Excel</t>
  </si>
  <si>
    <t>Plazos usando fórmulas de Excel</t>
  </si>
  <si>
    <t>Valor Futuro usando fórmulas de Excel</t>
  </si>
  <si>
    <t>Detalles</t>
  </si>
  <si>
    <t>Contraseña</t>
  </si>
  <si>
    <t xml:space="preserve">Las celdas de color amarillo son las desbloqueadas para poder modificar las cantidades contenidas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</si>
</sst>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164" formatCode="&quot;$&quot;#,##0.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8">
    <xf numFmtId="0" fontId="0" fillId="0" borderId="0" xfId="0"/>
    <xf numFmtId="164" fontId="0" fillId="0" borderId="1" xfId="1" applyNumberFormat="1" applyFont="1" applyBorder="1" applyProtection="1"/>
    <xf numFmtId="10" fontId="0" fillId="0" borderId="1" xfId="1" applyNumberFormat="1" applyFont="1" applyBorder="1" applyProtection="1"/>
    <xf numFmtId="0" fontId="0" fillId="0" borderId="1" xfId="1" applyNumberFormat="1" applyFont="1" applyBorder="1" applyProtection="1"/>
    <xf numFmtId="164" fontId="0" fillId="5" borderId="1" xfId="1" applyNumberFormat="1" applyFont="1" applyFill="1" applyBorder="1" applyProtection="1"/>
    <xf numFmtId="0" fontId="0" fillId="11" borderId="1" xfId="0" applyFill="1" applyBorder="1"/>
    <xf numFmtId="9" fontId="0" fillId="0" borderId="0" xfId="0" applyNumberFormat="1"/>
    <xf numFmtId="0" fontId="5" fillId="0" borderId="0" xfId="0" applyFont="1"/>
    <xf numFmtId="0" fontId="0" fillId="9" borderId="1" xfId="0" applyFill="1" applyBorder="1"/>
    <xf numFmtId="164" fontId="0" fillId="0" borderId="1" xfId="0" applyNumberFormat="1" applyBorder="1"/>
    <xf numFmtId="10" fontId="0" fillId="7" borderId="1" xfId="0" applyNumberFormat="1" applyFill="1" applyBorder="1"/>
    <xf numFmtId="0" fontId="0" fillId="0" borderId="1" xfId="0" applyBorder="1"/>
    <xf numFmtId="0" fontId="0" fillId="7" borderId="1" xfId="0" applyFill="1" applyBorder="1"/>
    <xf numFmtId="164" fontId="0" fillId="5" borderId="1" xfId="0" applyNumberFormat="1" applyFill="1" applyBorder="1"/>
    <xf numFmtId="10" fontId="0" fillId="0" borderId="1" xfId="2" applyNumberFormat="1" applyFont="1" applyBorder="1" applyProtection="1"/>
    <xf numFmtId="0" fontId="0" fillId="0" borderId="1" xfId="2" applyNumberFormat="1" applyFont="1" applyBorder="1" applyProtection="1"/>
    <xf numFmtId="164" fontId="0" fillId="0" borderId="1" xfId="2" applyNumberFormat="1" applyFont="1" applyBorder="1" applyProtection="1"/>
    <xf numFmtId="0" fontId="0" fillId="5" borderId="1" xfId="0" applyFill="1" applyBorder="1"/>
    <xf numFmtId="164" fontId="0" fillId="3" borderId="1" xfId="0" applyNumberFormat="1" applyFill="1" applyBorder="1"/>
    <xf numFmtId="0" fontId="0" fillId="3" borderId="1" xfId="0" applyFill="1" applyBorder="1"/>
    <xf numFmtId="0" fontId="2" fillId="2" borderId="1" xfId="0" applyFont="1" applyFill="1" applyBorder="1"/>
    <xf numFmtId="0" fontId="2" fillId="4" borderId="1" xfId="0" applyFont="1" applyFill="1" applyBorder="1"/>
    <xf numFmtId="0" fontId="2" fillId="6" borderId="1" xfId="0" applyFont="1" applyFill="1" applyBorder="1"/>
    <xf numFmtId="0" fontId="2" fillId="8" borderId="1" xfId="0" applyFont="1" applyFill="1" applyBorder="1"/>
    <xf numFmtId="0" fontId="2" fillId="10" borderId="1" xfId="0" applyFont="1" applyFill="1" applyBorder="1"/>
    <xf numFmtId="0" fontId="2" fillId="12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2" fillId="11" borderId="1" xfId="0" applyFont="1" applyFill="1" applyBorder="1" applyAlignment="1">
      <alignment horizontal="center"/>
    </xf>
    <xf numFmtId="0" fontId="0" fillId="12" borderId="1" xfId="0" applyFill="1" applyBorder="1"/>
    <xf numFmtId="164" fontId="0" fillId="13" borderId="1" xfId="1" applyNumberFormat="1" applyFont="1" applyFill="1" applyBorder="1" applyProtection="1">
      <protection locked="0"/>
    </xf>
    <xf numFmtId="10" fontId="0" fillId="13" borderId="1" xfId="2" applyNumberFormat="1" applyFont="1" applyFill="1" applyBorder="1" applyProtection="1">
      <protection locked="0"/>
    </xf>
    <xf numFmtId="0" fontId="0" fillId="13" borderId="1" xfId="0" applyFill="1" applyBorder="1" applyProtection="1">
      <protection locked="0"/>
    </xf>
    <xf numFmtId="164" fontId="0" fillId="13" borderId="1" xfId="0" applyNumberFormat="1" applyFill="1" applyBorder="1" applyProtection="1">
      <protection locked="0"/>
    </xf>
    <xf numFmtId="0" fontId="0" fillId="13" borderId="1" xfId="0" applyFill="1" applyBorder="1" applyAlignment="1">
      <alignment horizontal="center" wrapText="1"/>
    </xf>
    <xf numFmtId="0" fontId="0" fillId="14" borderId="1" xfId="0" applyFill="1" applyBorder="1" applyAlignment="1">
      <alignment horizontal="center"/>
    </xf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colors>
    <mruColors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FC846-BAF1-41EB-B2B5-F055B84AB6F7}">
  <sheetPr codeName="Hoja1"/>
  <dimension ref="B1:L30"/>
  <sheetViews>
    <sheetView tabSelected="1" zoomScale="115" zoomScaleNormal="115" workbookViewId="0">
      <selection activeCell="D7" sqref="D7"/>
    </sheetView>
  </sheetViews>
  <sheetFormatPr baseColWidth="10" defaultColWidth="11.44140625" defaultRowHeight="14.4" x14ac:dyDescent="0.3"/>
  <cols>
    <col min="2" max="2" width="23.5546875" customWidth="1"/>
    <col min="3" max="3" width="16" customWidth="1"/>
    <col min="4" max="4" width="23.109375" bestFit="1" customWidth="1"/>
    <col min="6" max="6" width="28.33203125" bestFit="1" customWidth="1"/>
    <col min="7" max="7" width="37.88671875" bestFit="1" customWidth="1"/>
    <col min="8" max="8" width="28.33203125" bestFit="1" customWidth="1"/>
    <col min="9" max="9" width="66" bestFit="1" customWidth="1"/>
    <col min="10" max="10" width="11.6640625" bestFit="1" customWidth="1"/>
    <col min="11" max="11" width="16.33203125" bestFit="1" customWidth="1"/>
    <col min="13" max="13" width="15.44140625" customWidth="1"/>
  </cols>
  <sheetData>
    <row r="1" spans="2:12" ht="23.4" x14ac:dyDescent="0.45">
      <c r="B1" s="20" t="s">
        <v>5</v>
      </c>
      <c r="C1" s="21" t="s">
        <v>6</v>
      </c>
      <c r="D1" s="22" t="s">
        <v>7</v>
      </c>
      <c r="E1" s="23" t="s">
        <v>8</v>
      </c>
      <c r="F1" s="24" t="s">
        <v>9</v>
      </c>
      <c r="G1" s="25" t="s">
        <v>10</v>
      </c>
    </row>
    <row r="2" spans="2:12" ht="23.4" x14ac:dyDescent="0.45">
      <c r="B2" s="26" t="s">
        <v>0</v>
      </c>
      <c r="C2" s="27" t="s">
        <v>1</v>
      </c>
      <c r="D2" s="28" t="s">
        <v>2</v>
      </c>
      <c r="E2" s="29" t="s">
        <v>3</v>
      </c>
      <c r="F2" s="30" t="s">
        <v>4</v>
      </c>
      <c r="G2" s="31"/>
    </row>
    <row r="3" spans="2:12" x14ac:dyDescent="0.3">
      <c r="B3" s="18" cm="1">
        <f t="array" ref="B3">ValPres(C3,D3,E3,F3)</f>
        <v>2908.6075108233927</v>
      </c>
      <c r="C3" s="32">
        <v>600</v>
      </c>
      <c r="D3" s="33">
        <v>0.02</v>
      </c>
      <c r="E3" s="34">
        <v>24</v>
      </c>
      <c r="F3" s="35">
        <v>22931.43</v>
      </c>
      <c r="G3" s="19" t="s">
        <v>15</v>
      </c>
    </row>
    <row r="4" spans="2:12" x14ac:dyDescent="0.3">
      <c r="B4" s="18">
        <f>PV(D4,E4,C4,-F4,0)</f>
        <v>2908.6074183308128</v>
      </c>
      <c r="C4" s="1">
        <f>C3</f>
        <v>600</v>
      </c>
      <c r="D4" s="2">
        <f>D3</f>
        <v>0.02</v>
      </c>
      <c r="E4" s="3">
        <f>E3</f>
        <v>24</v>
      </c>
      <c r="F4" s="1">
        <f>F3</f>
        <v>22931.43</v>
      </c>
      <c r="G4" s="19" t="s">
        <v>16</v>
      </c>
      <c r="L4" s="6"/>
    </row>
    <row r="5" spans="2:12" x14ac:dyDescent="0.3">
      <c r="B5" s="32">
        <v>2908.61</v>
      </c>
      <c r="C5" s="13" cm="1">
        <f t="array" ref="C5">Rentaa(B5,F5,E5,D5)</f>
        <v>599.99986839450219</v>
      </c>
      <c r="D5" s="33">
        <v>0.02</v>
      </c>
      <c r="E5" s="34">
        <v>24</v>
      </c>
      <c r="F5" s="35">
        <v>22931.43</v>
      </c>
      <c r="G5" s="17" t="s">
        <v>12</v>
      </c>
    </row>
    <row r="6" spans="2:12" x14ac:dyDescent="0.3">
      <c r="B6" s="1">
        <f>B5</f>
        <v>2908.61</v>
      </c>
      <c r="C6" s="13">
        <f>PMT(D6,E6,B6,-F6,0)</f>
        <v>599.99986350431686</v>
      </c>
      <c r="D6" s="14">
        <f>D5</f>
        <v>0.02</v>
      </c>
      <c r="E6" s="15">
        <f>E5</f>
        <v>24</v>
      </c>
      <c r="F6" s="16">
        <f>F5</f>
        <v>22931.43</v>
      </c>
      <c r="G6" s="17" t="s">
        <v>17</v>
      </c>
    </row>
    <row r="7" spans="2:12" x14ac:dyDescent="0.3">
      <c r="B7" s="32">
        <v>3000</v>
      </c>
      <c r="C7" s="32">
        <v>500</v>
      </c>
      <c r="D7" s="10" cm="1">
        <f t="array" ref="D7">TasaI(E7,C7,B7,F7)</f>
        <v>2.8927039001877059E-2</v>
      </c>
      <c r="E7" s="34">
        <v>24</v>
      </c>
      <c r="F7" s="35">
        <v>22931.43</v>
      </c>
      <c r="G7" s="12" t="s">
        <v>13</v>
      </c>
    </row>
    <row r="8" spans="2:12" x14ac:dyDescent="0.3">
      <c r="B8" s="1">
        <f>B7</f>
        <v>3000</v>
      </c>
      <c r="C8" s="1">
        <f>C7</f>
        <v>500</v>
      </c>
      <c r="D8" s="10">
        <f>RATE(E8,-C8,-(B8),F8,0)</f>
        <v>2.8927039001876934E-2</v>
      </c>
      <c r="E8" s="11">
        <f>E7</f>
        <v>24</v>
      </c>
      <c r="F8" s="9">
        <f>F7</f>
        <v>22931.43</v>
      </c>
      <c r="G8" s="12" t="s">
        <v>18</v>
      </c>
    </row>
    <row r="9" spans="2:12" x14ac:dyDescent="0.3">
      <c r="B9" s="32">
        <v>4000</v>
      </c>
      <c r="C9" s="32">
        <v>100</v>
      </c>
      <c r="D9" s="33">
        <v>0.02</v>
      </c>
      <c r="E9" s="8" cm="1">
        <f t="array" ref="E9">MI_NPER(D9,C9,B9,F9)</f>
        <v>57.190800000000003</v>
      </c>
      <c r="F9" s="35">
        <v>22931.43</v>
      </c>
      <c r="G9" s="8" t="s">
        <v>14</v>
      </c>
    </row>
    <row r="10" spans="2:12" x14ac:dyDescent="0.3">
      <c r="B10" s="1">
        <f>B9</f>
        <v>4000</v>
      </c>
      <c r="C10" s="1">
        <f>C9</f>
        <v>100</v>
      </c>
      <c r="D10" s="2">
        <f>D9</f>
        <v>0.02</v>
      </c>
      <c r="E10" s="8">
        <f>NPER(D10,C10,B10,-F10,0)</f>
        <v>57.190795130292813</v>
      </c>
      <c r="F10" s="9">
        <f>F9</f>
        <v>22931.43</v>
      </c>
      <c r="G10" s="8" t="s">
        <v>19</v>
      </c>
    </row>
    <row r="11" spans="2:12" x14ac:dyDescent="0.3">
      <c r="B11" s="32">
        <v>2908.61</v>
      </c>
      <c r="C11" s="32">
        <v>500</v>
      </c>
      <c r="D11" s="33">
        <v>0.02</v>
      </c>
      <c r="E11" s="34">
        <v>24</v>
      </c>
      <c r="F11" s="4" cm="1">
        <f t="array" ref="F11">ValFutu(C11,E11,B11,D11)</f>
        <v>19889.247772901515</v>
      </c>
      <c r="G11" s="5" t="s">
        <v>11</v>
      </c>
    </row>
    <row r="12" spans="2:12" x14ac:dyDescent="0.3">
      <c r="B12" s="1">
        <f>B11</f>
        <v>2908.61</v>
      </c>
      <c r="C12" s="1">
        <f>C11</f>
        <v>500</v>
      </c>
      <c r="D12" s="2">
        <f>D11</f>
        <v>0.02</v>
      </c>
      <c r="E12" s="3">
        <f>E11</f>
        <v>24</v>
      </c>
      <c r="F12" s="4">
        <f>FV(D12,E12,-C12,-B12,0)</f>
        <v>19889.247905076762</v>
      </c>
      <c r="G12" s="5" t="s">
        <v>20</v>
      </c>
    </row>
    <row r="14" spans="2:12" x14ac:dyDescent="0.3">
      <c r="B14" s="37" t="s">
        <v>21</v>
      </c>
      <c r="C14" s="37"/>
      <c r="D14" s="37"/>
      <c r="E14" s="6"/>
    </row>
    <row r="15" spans="2:12" ht="37.5" customHeight="1" x14ac:dyDescent="0.3">
      <c r="B15" s="36" t="s">
        <v>23</v>
      </c>
      <c r="C15" s="36"/>
      <c r="D15" s="36"/>
      <c r="E15" s="6"/>
      <c r="F15" s="6"/>
    </row>
    <row r="16" spans="2:12" x14ac:dyDescent="0.3">
      <c r="B16" s="11" t="s">
        <v>22</v>
      </c>
      <c r="C16" s="11">
        <v>123</v>
      </c>
    </row>
    <row r="17" spans="2:9" x14ac:dyDescent="0.3">
      <c r="D17" s="6"/>
      <c r="G17" s="6"/>
    </row>
    <row r="18" spans="2:9" x14ac:dyDescent="0.3">
      <c r="D18" s="6"/>
      <c r="G18" s="6"/>
    </row>
    <row r="19" spans="2:9" x14ac:dyDescent="0.3">
      <c r="I19" s="6"/>
    </row>
    <row r="21" spans="2:9" ht="15.6" x14ac:dyDescent="0.3">
      <c r="B21" s="7"/>
    </row>
    <row r="29" spans="2:9" x14ac:dyDescent="0.3">
      <c r="G29" s="6"/>
    </row>
    <row r="30" spans="2:9" x14ac:dyDescent="0.3">
      <c r="G30" s="6"/>
    </row>
  </sheetData>
  <sheetProtection algorithmName="SHA-512" hashValue="2lBtZnDxfkzIudgK0iq1PpcEPSpbqUAZmBOuR3g4i7SA5uo554Ecxhs7Bgx7uRN3k5Ug35SONOCZ8iWAZ7UHoA==" saltValue="5W3BzjeqZiIdQPOD7B+gQQ==" spinCount="100000" sheet="1" objects="1" scenarios="1"/>
  <mergeCells count="2">
    <mergeCell ref="B15:D15"/>
    <mergeCell ref="B14:D14"/>
  </mergeCells>
  <phoneticPr fontId="4" type="noConversion"/>
  <pageMargins left="0.7" right="0.7" top="0.75" bottom="0.75" header="0.3" footer="0.3"/>
  <pageSetup paperSize="9" orientation="portrait" horizontalDpi="90" verticalDpi="90" r:id="rId1"/>
  <ignoredErrors>
    <ignoredError sqref="C6 D8 E10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Examen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Alejandra Otañez</dc:creator>
  <cp:lastModifiedBy>LEONARDO ROSAS RIOS</cp:lastModifiedBy>
  <dcterms:created xsi:type="dcterms:W3CDTF">2021-09-07T02:38:44Z</dcterms:created>
  <dcterms:modified xsi:type="dcterms:W3CDTF">2025-03-09T02:34:30Z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1bf4cdd2-42c3-42e3-8e13-93d05027bdb7</vt:lpwstr>
  </property>
</Properties>
</file>